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<sst xmlns="http://schemas.openxmlformats.org/spreadsheetml/2006/main" count="46" uniqueCount="29">
  <si>
    <t>KALKULASI LOADING</t>
  </si>
  <si>
    <t>KALKULASI KEKOSONGAN</t>
  </si>
  <si>
    <t>Bulan/Tanggal :</t>
  </si>
  <si>
    <t>NO.</t>
  </si>
  <si>
    <t>SILO A</t>
  </si>
  <si>
    <t>SILO B</t>
  </si>
  <si>
    <t>Cargo Discharge PCC</t>
  </si>
  <si>
    <t>:</t>
  </si>
  <si>
    <t>Total Cargo Discharge PCC</t>
  </si>
  <si>
    <t>Balance Cargo Discharge PCC</t>
  </si>
  <si>
    <t>Total Cargo Balance</t>
  </si>
  <si>
    <t>Pengeluaran Truck</t>
  </si>
  <si>
    <t>Pengeluaran Curah</t>
  </si>
  <si>
    <t>Total</t>
  </si>
  <si>
    <t>Discharge Started</t>
  </si>
  <si>
    <t>WIB</t>
  </si>
  <si>
    <t>Silo A</t>
  </si>
  <si>
    <t>Silo B</t>
  </si>
  <si>
    <t>- 2,5m</t>
  </si>
  <si>
    <t>- 2,0m</t>
  </si>
  <si>
    <t>Estimation by Rate/Hour(s)</t>
  </si>
  <si>
    <t>Hour(s)</t>
  </si>
  <si>
    <t>Kekosongan</t>
  </si>
  <si>
    <t>Space Silo</t>
  </si>
  <si>
    <t xml:space="preserve">Akan Terbongkar </t>
  </si>
  <si>
    <t>Mt</t>
  </si>
  <si>
    <t>Rate</t>
  </si>
  <si>
    <t>Mt/hour(s)</t>
  </si>
  <si>
    <t>Est. Discharge Complete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</si>
</sst>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/>
    <font>
      <b/>
      <color theme="1"/>
      <name val="Arial"/>
      <scheme val="minor"/>
    </font>
    <font>
      <b/>
      <color rgb="FF00FF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E06666"/>
        <bgColor rgb="FFE06666"/>
      </patternFill>
    </fill>
  </fills>
  <borders count="9">
    <border/>
    <border>
      <left style="thin">
        <color rgb="FF000000"/>
      </lef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1" numFmtId="0" xfId="0" applyAlignment="1" applyFont="1">
      <alignment horizontal="center" shrinkToFit="0" vertical="bottom" wrapText="0"/>
    </xf>
    <xf borderId="1" fillId="0" fontId="2" numFmtId="0" xfId="0" applyBorder="1" applyFont="1"/>
    <xf borderId="0" fillId="0" fontId="2" numFmtId="0" xfId="0" applyFont="1"/>
    <xf borderId="0" fillId="0" fontId="2" numFmtId="0" xfId="0" applyAlignment="1" applyFont="1">
      <alignment vertical="bottom"/>
    </xf>
    <xf borderId="0" fillId="0" fontId="3" numFmtId="0" xfId="0" applyFont="1"/>
    <xf borderId="1" fillId="0" fontId="2" numFmtId="14" xfId="0" applyBorder="1" applyFont="1" applyNumberFormat="1"/>
    <xf borderId="0" fillId="0" fontId="2" numFmtId="0" xfId="0" applyAlignment="1" applyFont="1">
      <alignment horizontal="center"/>
    </xf>
    <xf borderId="2" fillId="0" fontId="2" numFmtId="0" xfId="0" applyAlignment="1" applyBorder="1" applyFont="1">
      <alignment vertical="center"/>
    </xf>
    <xf borderId="3" fillId="3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/>
    </xf>
    <xf borderId="0" fillId="0" fontId="2" numFmtId="4" xfId="0" applyAlignment="1" applyFont="1" applyNumberFormat="1">
      <alignment horizontal="center"/>
    </xf>
    <xf borderId="3" fillId="0" fontId="2" numFmtId="0" xfId="0" applyAlignment="1" applyBorder="1" applyFont="1">
      <alignment horizontal="center" vertical="center"/>
    </xf>
    <xf borderId="1" fillId="0" fontId="1" numFmtId="0" xfId="0" applyBorder="1" applyFont="1"/>
    <xf borderId="0" fillId="0" fontId="2" numFmtId="3" xfId="0" applyAlignment="1" applyFont="1" applyNumberFormat="1">
      <alignment horizontal="center"/>
    </xf>
    <xf borderId="3" fillId="2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/>
    </xf>
    <xf borderId="5" fillId="0" fontId="4" numFmtId="0" xfId="0" applyBorder="1" applyFont="1"/>
    <xf borderId="6" fillId="0" fontId="1" numFmtId="0" xfId="0" applyAlignment="1" applyBorder="1" applyFont="1">
      <alignment horizontal="center" vertical="center"/>
    </xf>
    <xf borderId="0" fillId="0" fontId="3" numFmtId="0" xfId="0" applyAlignment="1" applyFont="1">
      <alignment horizontal="center"/>
    </xf>
    <xf borderId="3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3" fillId="0" fontId="3" numFmtId="164" xfId="0" applyAlignment="1" applyBorder="1" applyFont="1" applyNumberFormat="1">
      <alignment horizontal="center" vertical="center"/>
    </xf>
    <xf borderId="3" fillId="0" fontId="5" numFmtId="0" xfId="0" applyAlignment="1" applyBorder="1" applyFont="1">
      <alignment horizontal="center"/>
    </xf>
    <xf borderId="3" fillId="0" fontId="5" numFmtId="0" xfId="0" applyAlignment="1" applyBorder="1" applyFont="1">
      <alignment horizontal="center" readingOrder="0"/>
    </xf>
    <xf borderId="7" fillId="0" fontId="4" numFmtId="0" xfId="0" applyBorder="1" applyFont="1"/>
    <xf borderId="3" fillId="0" fontId="2" numFmtId="164" xfId="0" applyAlignment="1" applyBorder="1" applyFont="1" applyNumberFormat="1">
      <alignment horizontal="center" vertical="center"/>
    </xf>
    <xf borderId="3" fillId="0" fontId="1" numFmtId="20" xfId="0" applyAlignment="1" applyBorder="1" applyFont="1" applyNumberFormat="1">
      <alignment horizontal="center"/>
    </xf>
    <xf borderId="8" fillId="0" fontId="4" numFmtId="0" xfId="0" applyBorder="1" applyFont="1"/>
    <xf borderId="3" fillId="0" fontId="2" numFmtId="1" xfId="0" applyAlignment="1" applyBorder="1" applyFont="1" applyNumberFormat="1">
      <alignment horizontal="center" vertical="center"/>
    </xf>
    <xf borderId="3" fillId="0" fontId="1" numFmtId="2" xfId="0" applyAlignment="1" applyBorder="1" applyFont="1" applyNumberFormat="1">
      <alignment horizontal="center"/>
    </xf>
    <xf borderId="3" fillId="2" fontId="1" numFmtId="0" xfId="0" applyBorder="1" applyFont="1"/>
    <xf borderId="3" fillId="2" fontId="5" numFmtId="0" xfId="0" applyAlignment="1" applyBorder="1" applyFont="1">
      <alignment horizontal="center"/>
    </xf>
    <xf borderId="3" fillId="2" fontId="5" numFmtId="1" xfId="0" applyAlignment="1" applyBorder="1" applyFont="1" applyNumberFormat="1">
      <alignment horizontal="center"/>
    </xf>
    <xf borderId="3" fillId="0" fontId="3" numFmtId="1" xfId="0" applyAlignment="1" applyBorder="1" applyFont="1" applyNumberFormat="1">
      <alignment horizontal="center" vertical="center"/>
    </xf>
    <xf borderId="6" fillId="0" fontId="5" numFmtId="0" xfId="0" applyAlignment="1" applyBorder="1" applyFont="1">
      <alignment horizontal="center" vertical="center"/>
    </xf>
    <xf borderId="3" fillId="2" fontId="5" numFmtId="3" xfId="0" applyAlignment="1" applyBorder="1" applyFont="1" applyNumberFormat="1">
      <alignment horizontal="center"/>
    </xf>
    <xf borderId="3" fillId="0" fontId="1" numFmtId="0" xfId="0" applyAlignment="1" applyBorder="1" applyFont="1">
      <alignment horizontal="center"/>
    </xf>
    <xf borderId="0" fillId="0" fontId="2" numFmtId="0" xfId="0" applyAlignment="1" applyFont="1">
      <alignment horizontal="center" vertical="center"/>
    </xf>
    <xf borderId="3" fillId="4" fontId="6" numFmtId="0" xfId="0" applyAlignment="1" applyBorder="1" applyFill="1" applyFont="1">
      <alignment horizontal="center"/>
    </xf>
    <xf borderId="0" fillId="0" fontId="5" numFmtId="0" xfId="0" applyAlignment="1" applyFont="1">
      <alignment horizontal="center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12.63"/>
    <col customWidth="1" min="3" max="3" width="13.0"/>
    <col customWidth="1" min="4" max="5" width="12.63"/>
    <col customWidth="1" min="6" max="6" width="13.63"/>
    <col customWidth="1" min="7" max="9" width="12.63"/>
    <col customWidth="1" min="10" max="26" width="14.38"/>
  </cols>
  <sheetData>
    <row r="1" ht="15.75" customHeight="1">
      <c r="A1" s="1" t="s">
        <v>0</v>
      </c>
      <c r="F1" s="2" t="s">
        <v>1</v>
      </c>
    </row>
    <row r="2" ht="15.75" customHeight="1">
      <c r="A2" s="3"/>
      <c r="E2" s="4"/>
      <c r="F2" s="5"/>
      <c r="G2" s="5"/>
      <c r="H2" s="5"/>
    </row>
    <row r="3" ht="15.75" customHeight="1">
      <c r="A3" s="6" t="s">
        <v>2</v>
      </c>
      <c r="B3" s="7">
        <f>TODAY()</f>
        <v>45836</v>
      </c>
      <c r="D3" s="8"/>
      <c r="E3" s="4"/>
      <c r="F3" s="9"/>
      <c r="G3" s="9"/>
      <c r="H3" s="9"/>
    </row>
    <row r="4" ht="15.75" customHeight="1">
      <c r="A4" s="3"/>
      <c r="D4" s="8"/>
      <c r="E4" s="4"/>
      <c r="F4" s="10" t="s">
        <v>3</v>
      </c>
      <c r="G4" s="10" t="s">
        <v>4</v>
      </c>
      <c r="H4" s="10" t="s">
        <v>5</v>
      </c>
    </row>
    <row r="5" ht="15.75" customHeight="1">
      <c r="A5" s="3" t="s">
        <v>6</v>
      </c>
      <c r="C5" s="11" t="s">
        <v>7</v>
      </c>
      <c r="D5" s="12">
        <v>572.472</v>
      </c>
      <c r="E5" s="4"/>
      <c r="F5" s="13">
        <v>1.0</v>
      </c>
      <c r="G5" s="13">
        <v>4.3</v>
      </c>
      <c r="H5" s="13">
        <v>9.6</v>
      </c>
      <c r="I5" s="8"/>
    </row>
    <row r="6" ht="15.75" customHeight="1">
      <c r="A6" s="3" t="s">
        <v>8</v>
      </c>
      <c r="C6" s="11" t="s">
        <v>7</v>
      </c>
      <c r="D6" s="12">
        <v>4787.461</v>
      </c>
      <c r="E6" s="4"/>
      <c r="F6" s="13">
        <v>2.0</v>
      </c>
      <c r="G6" s="13">
        <v>6.0</v>
      </c>
      <c r="H6" s="13">
        <v>12.3</v>
      </c>
      <c r="I6" s="8"/>
    </row>
    <row r="7" ht="15.75" customHeight="1">
      <c r="A7" s="3" t="s">
        <v>9</v>
      </c>
      <c r="C7" s="11" t="s">
        <v>7</v>
      </c>
      <c r="D7" s="12">
        <v>1415.771</v>
      </c>
      <c r="E7" s="4"/>
      <c r="F7" s="13">
        <v>3.0</v>
      </c>
      <c r="G7" s="13">
        <v>7.2</v>
      </c>
      <c r="H7" s="13">
        <v>13.7</v>
      </c>
      <c r="I7" s="8"/>
    </row>
    <row r="8" ht="15.75" customHeight="1">
      <c r="A8" s="3" t="s">
        <v>10</v>
      </c>
      <c r="C8" s="11" t="s">
        <v>7</v>
      </c>
      <c r="D8" s="12">
        <f>SUM(D6+D7)</f>
        <v>6203.232</v>
      </c>
      <c r="E8" s="4"/>
      <c r="F8" s="13">
        <v>4.0</v>
      </c>
      <c r="G8" s="13">
        <v>7.5</v>
      </c>
      <c r="H8" s="13">
        <v>14.0</v>
      </c>
      <c r="I8" s="8"/>
    </row>
    <row r="9" ht="15.75" customHeight="1">
      <c r="A9" s="14" t="s">
        <v>11</v>
      </c>
      <c r="C9" s="11" t="s">
        <v>7</v>
      </c>
      <c r="D9" s="11">
        <v>10.0</v>
      </c>
      <c r="E9" s="4"/>
      <c r="F9" s="13">
        <v>5.0</v>
      </c>
      <c r="G9" s="13">
        <v>6.0</v>
      </c>
      <c r="H9" s="13">
        <v>13.2</v>
      </c>
      <c r="I9" s="8"/>
    </row>
    <row r="10" ht="15.75" customHeight="1">
      <c r="A10" s="14" t="s">
        <v>12</v>
      </c>
      <c r="C10" s="11" t="s">
        <v>7</v>
      </c>
      <c r="D10" s="11">
        <v>10.0</v>
      </c>
      <c r="E10" s="4"/>
      <c r="F10" s="13">
        <v>6.0</v>
      </c>
      <c r="G10" s="13">
        <v>4.6</v>
      </c>
      <c r="H10" s="13">
        <v>11.9</v>
      </c>
      <c r="I10" s="8"/>
    </row>
    <row r="11" ht="15.75" customHeight="1">
      <c r="A11" s="14"/>
      <c r="C11" s="11"/>
      <c r="D11" s="15"/>
      <c r="E11" s="4"/>
      <c r="F11" s="13">
        <v>7.0</v>
      </c>
      <c r="G11" s="13">
        <v>4.3</v>
      </c>
      <c r="H11" s="13">
        <v>9.5</v>
      </c>
      <c r="I11" s="8"/>
    </row>
    <row r="12" ht="15.75" customHeight="1">
      <c r="A12" s="3"/>
      <c r="C12" s="11"/>
      <c r="D12" s="8"/>
      <c r="F12" s="16" t="s">
        <v>13</v>
      </c>
      <c r="G12" s="16">
        <f t="shared" ref="G12:H12" si="1">SUM(G5:G11)</f>
        <v>39.9</v>
      </c>
      <c r="H12" s="16">
        <f t="shared" si="1"/>
        <v>84.2</v>
      </c>
      <c r="I12" s="8"/>
    </row>
    <row r="13" ht="15.75" customHeight="1">
      <c r="A13" s="17" t="s">
        <v>14</v>
      </c>
      <c r="B13" s="18"/>
      <c r="C13" s="19" t="s">
        <v>15</v>
      </c>
      <c r="D13" s="20"/>
      <c r="E13" s="8"/>
      <c r="F13" s="21"/>
      <c r="G13" s="22">
        <f t="shared" ref="G13:H13" si="2">G12/7</f>
        <v>5.7</v>
      </c>
      <c r="H13" s="23">
        <f t="shared" si="2"/>
        <v>12.02857143</v>
      </c>
      <c r="I13" s="8"/>
    </row>
    <row r="14" ht="15.75" customHeight="1">
      <c r="A14" s="24" t="s">
        <v>16</v>
      </c>
      <c r="B14" s="25" t="s">
        <v>17</v>
      </c>
      <c r="C14" s="26"/>
      <c r="D14" s="20"/>
      <c r="E14" s="20"/>
      <c r="F14" s="13" t="s">
        <v>18</v>
      </c>
      <c r="G14" s="13">
        <f t="shared" ref="G14:H14" si="3">G13-2.5</f>
        <v>3.2</v>
      </c>
      <c r="H14" s="27">
        <f t="shared" si="3"/>
        <v>9.528571429</v>
      </c>
    </row>
    <row r="15" ht="15.75" customHeight="1">
      <c r="A15" s="28">
        <v>0.55</v>
      </c>
      <c r="B15" s="28">
        <v>0.7999999999992724</v>
      </c>
      <c r="C15" s="29"/>
      <c r="D15" s="20"/>
      <c r="E15" s="20"/>
      <c r="F15" s="13" t="s">
        <v>19</v>
      </c>
      <c r="G15" s="13">
        <f t="shared" ref="G15:H15" si="4">G13-2</f>
        <v>3.7</v>
      </c>
      <c r="H15" s="27">
        <f t="shared" si="4"/>
        <v>10.02857143</v>
      </c>
    </row>
    <row r="16" ht="15.75" customHeight="1">
      <c r="A16" s="17" t="s">
        <v>20</v>
      </c>
      <c r="B16" s="18"/>
      <c r="C16" s="19" t="s">
        <v>21</v>
      </c>
      <c r="D16" s="20"/>
      <c r="E16" s="20"/>
      <c r="F16" s="16" t="s">
        <v>22</v>
      </c>
      <c r="G16" s="16" t="s">
        <v>4</v>
      </c>
      <c r="H16" s="16" t="s">
        <v>5</v>
      </c>
    </row>
    <row r="17" ht="15.75" customHeight="1">
      <c r="A17" s="24" t="s">
        <v>16</v>
      </c>
      <c r="B17" s="25" t="s">
        <v>17</v>
      </c>
      <c r="C17" s="26"/>
      <c r="D17" s="20"/>
      <c r="E17" s="20"/>
      <c r="F17" s="13" t="s">
        <v>18</v>
      </c>
      <c r="G17" s="13">
        <f t="shared" ref="G17:H17" si="5">G14*145</f>
        <v>464</v>
      </c>
      <c r="H17" s="30">
        <f t="shared" si="5"/>
        <v>1381.642857</v>
      </c>
    </row>
    <row r="18" ht="15.75" customHeight="1">
      <c r="A18" s="31">
        <f>G20/B22</f>
        <v>1.805944056</v>
      </c>
      <c r="B18" s="31">
        <f>G18/B22</f>
        <v>1.552447552</v>
      </c>
      <c r="C18" s="29"/>
      <c r="D18" s="20"/>
      <c r="E18" s="20"/>
      <c r="F18" s="32" t="s">
        <v>23</v>
      </c>
      <c r="G18" s="33">
        <f>G17-D9-D10</f>
        <v>444</v>
      </c>
      <c r="H18" s="34">
        <f>H17-D9-D10</f>
        <v>1361.642857</v>
      </c>
    </row>
    <row r="19" ht="15.75" customHeight="1">
      <c r="A19" s="17" t="s">
        <v>24</v>
      </c>
      <c r="B19" s="18"/>
      <c r="C19" s="24"/>
      <c r="D19" s="20"/>
      <c r="E19" s="8"/>
      <c r="F19" s="13" t="s">
        <v>19</v>
      </c>
      <c r="G19" s="22">
        <f>G15*145</f>
        <v>536.5</v>
      </c>
      <c r="H19" s="35">
        <f>H15*1453</f>
        <v>14571.51429</v>
      </c>
    </row>
    <row r="20" ht="15.75" customHeight="1">
      <c r="A20" s="24" t="s">
        <v>16</v>
      </c>
      <c r="B20" s="25" t="s">
        <v>17</v>
      </c>
      <c r="C20" s="36" t="s">
        <v>25</v>
      </c>
      <c r="D20" s="20"/>
      <c r="E20" s="20"/>
      <c r="F20" s="32" t="s">
        <v>23</v>
      </c>
      <c r="G20" s="37">
        <f>G19-D9-D10</f>
        <v>516.5</v>
      </c>
      <c r="H20" s="34">
        <f>H19-D9-D10</f>
        <v>14551.51429</v>
      </c>
    </row>
    <row r="21" ht="15.75" customHeight="1">
      <c r="A21" s="38">
        <f>B22*A18</f>
        <v>516.5</v>
      </c>
      <c r="B21" s="38">
        <f>B22*B18</f>
        <v>444</v>
      </c>
      <c r="C21" s="29"/>
      <c r="D21" s="20"/>
      <c r="E21" s="20"/>
      <c r="F21" s="39"/>
      <c r="G21" s="20"/>
    </row>
    <row r="22" ht="15.75" customHeight="1">
      <c r="A22" s="40" t="s">
        <v>26</v>
      </c>
      <c r="B22" s="40">
        <v>286.0</v>
      </c>
      <c r="C22" s="38" t="s">
        <v>27</v>
      </c>
      <c r="D22" s="20"/>
      <c r="E22" s="20"/>
      <c r="G22" s="41"/>
    </row>
    <row r="23" ht="15.75" customHeight="1">
      <c r="A23" s="17" t="s">
        <v>28</v>
      </c>
      <c r="B23" s="18"/>
      <c r="C23" s="19" t="s">
        <v>15</v>
      </c>
      <c r="H23" s="20"/>
    </row>
    <row r="24" ht="15.75" customHeight="1">
      <c r="A24" s="24" t="s">
        <v>16</v>
      </c>
      <c r="B24" s="25" t="s">
        <v>17</v>
      </c>
      <c r="C24" s="26"/>
      <c r="D24" s="20"/>
      <c r="E24" s="20"/>
      <c r="H24" s="20"/>
    </row>
    <row r="25" ht="15.75" customHeight="1">
      <c r="A25" s="28">
        <f t="shared" ref="A25:B25" si="6">A15+A18</f>
        <v>2.355944056</v>
      </c>
      <c r="B25" s="28">
        <f t="shared" si="6"/>
        <v>2.352447552</v>
      </c>
      <c r="C25" s="29"/>
      <c r="D25" s="20"/>
      <c r="E25" s="20"/>
    </row>
    <row r="26" ht="15.75" customHeight="1">
      <c r="A26" s="20"/>
      <c r="B26" s="20"/>
      <c r="C26" s="20"/>
      <c r="D26" s="20"/>
      <c r="E26" s="20"/>
      <c r="F26" s="42"/>
      <c r="G26" s="42"/>
      <c r="H26" s="4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C20:C21"/>
    <mergeCell ref="G21:H21"/>
    <mergeCell ref="G22:H22"/>
    <mergeCell ref="A23:B23"/>
    <mergeCell ref="C23:C25"/>
    <mergeCell ref="A1:E1"/>
    <mergeCell ref="F1:H1"/>
    <mergeCell ref="A13:B13"/>
    <mergeCell ref="C13:C15"/>
    <mergeCell ref="A16:B16"/>
    <mergeCell ref="C16:C18"/>
    <mergeCell ref="A19:B19"/>
  </mergeCells>
  <drawing r:id="rId1"/>
</worksheet>
</file>