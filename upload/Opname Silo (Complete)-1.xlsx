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4"/>
  </sheets>
  <definedNames/>
  <calcPr/>
  <extLst>
    <ext uri="GoogleSheetsCustomDataVersion1">
      <go:sheetsCustomData xmlns:go="http://customooxmlschemas.google.com/" r:id="rId5" roundtripDataSignature="AMtx7mjkNifYH1fRNGTF2LZBBOeienraIw=="/>
    </ext>
  </extLst>
</workbook>
</file>

<file path=xl/sharedStrings.xml><?xml version="1.0" encoding="utf-8"?>
<sst xmlns="http://schemas.openxmlformats.org/spreadsheetml/2006/main" count="86" uniqueCount="47">
  <si>
    <t>BERITA ACARA OPNAME SILO A &amp; B</t>
  </si>
  <si>
    <t>MV : MADELIN FIRST</t>
  </si>
  <si>
    <t>SEBELUM BONGKAR</t>
  </si>
  <si>
    <t>SESUDAH BONGKAR</t>
  </si>
  <si>
    <t>TGL/JAM :</t>
  </si>
  <si>
    <t>30 / 05 / 2022</t>
  </si>
  <si>
    <t xml:space="preserve"> 01.00 WIB</t>
  </si>
  <si>
    <t>31 / 05 / 2022</t>
  </si>
  <si>
    <t>15.00 WIB</t>
  </si>
  <si>
    <t>JENIS PENGUKURAN</t>
  </si>
  <si>
    <t>SILO A</t>
  </si>
  <si>
    <t>SILO B</t>
  </si>
  <si>
    <t>JENIS</t>
  </si>
  <si>
    <r>
      <rPr>
        <rFont val="Arial"/>
        <b/>
        <color theme="1"/>
        <sz val="10.0"/>
      </rPr>
      <t>(a).</t>
    </r>
    <r>
      <rPr>
        <rFont val="Arial"/>
        <b val="0"/>
        <color theme="1"/>
        <sz val="10.0"/>
      </rPr>
      <t xml:space="preserve">                        1</t>
    </r>
  </si>
  <si>
    <r>
      <rPr>
        <rFont val="Arial"/>
        <b/>
        <color theme="1"/>
        <sz val="10.0"/>
      </rPr>
      <t xml:space="preserve">(a).                </t>
    </r>
    <r>
      <rPr>
        <rFont val="Arial"/>
        <b val="0"/>
        <color theme="1"/>
        <sz val="10.0"/>
      </rPr>
      <t>1</t>
    </r>
  </si>
  <si>
    <r>
      <rPr>
        <rFont val="Arial"/>
        <b/>
        <color theme="1"/>
        <sz val="10.0"/>
      </rPr>
      <t>(b).</t>
    </r>
    <r>
      <rPr>
        <rFont val="Arial"/>
        <b val="0"/>
        <color theme="1"/>
        <sz val="10.0"/>
      </rPr>
      <t xml:space="preserve"> Jumlah 1-7</t>
    </r>
  </si>
  <si>
    <t>(b).</t>
  </si>
  <si>
    <r>
      <rPr>
        <rFont val="Arial"/>
        <b/>
        <color theme="1"/>
        <sz val="10.0"/>
      </rPr>
      <t>(c).</t>
    </r>
    <r>
      <rPr>
        <rFont val="Arial"/>
        <b val="0"/>
        <color theme="1"/>
        <sz val="10.0"/>
      </rPr>
      <t xml:space="preserve"> Tinggi Rata-Rata</t>
    </r>
  </si>
  <si>
    <t>(c).</t>
  </si>
  <si>
    <r>
      <rPr>
        <rFont val="Arial"/>
        <b/>
        <color theme="1"/>
        <sz val="10.0"/>
      </rPr>
      <t>(d).</t>
    </r>
    <r>
      <rPr>
        <rFont val="Arial"/>
        <b val="0"/>
        <color theme="1"/>
        <sz val="10.0"/>
      </rPr>
      <t xml:space="preserve"> t Silinder, 0-18 </t>
    </r>
    <r>
      <rPr>
        <rFont val="arial"/>
        <b/>
        <color theme="1"/>
        <sz val="12.0"/>
      </rPr>
      <t xml:space="preserve">→ </t>
    </r>
    <r>
      <rPr>
        <rFont val="Arial"/>
        <b val="0"/>
        <color theme="1"/>
        <sz val="10.0"/>
      </rPr>
      <t xml:space="preserve">18,0  –  </t>
    </r>
    <r>
      <rPr>
        <rFont val="Arial"/>
        <b/>
        <color theme="1"/>
        <sz val="10.0"/>
      </rPr>
      <t>(c).</t>
    </r>
  </si>
  <si>
    <t>(d).</t>
  </si>
  <si>
    <t>(Jika lebih 18 m = Nihil)</t>
  </si>
  <si>
    <r>
      <rPr>
        <rFont val="Arial"/>
        <b/>
        <color theme="1"/>
        <sz val="10.0"/>
      </rPr>
      <t>(e).</t>
    </r>
    <r>
      <rPr>
        <rFont val="Arial"/>
        <b val="0"/>
        <color theme="1"/>
        <sz val="10.0"/>
      </rPr>
      <t xml:space="preserve"> t Conis, Ketentuan : </t>
    </r>
    <r>
      <rPr>
        <rFont val="Arial"/>
        <b/>
        <color theme="1"/>
        <sz val="10.0"/>
      </rPr>
      <t>0-18 m →</t>
    </r>
  </si>
  <si>
    <t>(e).</t>
  </si>
  <si>
    <t>A = 4,6 &amp; B = 2,9</t>
  </si>
  <si>
    <r>
      <rPr>
        <rFont val="Arial"/>
        <color theme="1"/>
        <sz val="10.0"/>
      </rPr>
      <t xml:space="preserve">Diatas 18 m </t>
    </r>
    <r>
      <rPr>
        <rFont val="arial"/>
        <b/>
        <color theme="1"/>
        <sz val="12.0"/>
      </rPr>
      <t>→</t>
    </r>
  </si>
  <si>
    <t>A = 22,6 – (c). B = 20,9 - (c).</t>
  </si>
  <si>
    <t>1. SEBELUM BONGKAR (OPNAME I) :</t>
  </si>
  <si>
    <t>VOLUME SILO A</t>
  </si>
  <si>
    <t>Silinder</t>
  </si>
  <si>
    <t xml:space="preserve"> =</t>
  </si>
  <si>
    <t>x (d).</t>
  </si>
  <si>
    <t xml:space="preserve"> = </t>
  </si>
  <si>
    <t>Conis</t>
  </si>
  <si>
    <t>x (e).</t>
  </si>
  <si>
    <t>:   4,6 x 4,6  =</t>
  </si>
  <si>
    <t>VOLUME SILO B</t>
  </si>
  <si>
    <t>:   2,9 x 2,9  =</t>
  </si>
  <si>
    <t>m/t</t>
  </si>
  <si>
    <t>2. SEBELUM BONGKAR (OPNAME II) :</t>
  </si>
  <si>
    <t>Jumlah Sesudah Bongkar (Opname II)</t>
  </si>
  <si>
    <t>(+)</t>
  </si>
  <si>
    <t>Pengeluaran sejak Opname I s/d Opname II</t>
  </si>
  <si>
    <t xml:space="preserve"> </t>
  </si>
  <si>
    <t>Jumlah Sebelum Bongkar (Opname I)</t>
  </si>
  <si>
    <t xml:space="preserve"> (-)</t>
  </si>
  <si>
    <t>Semen Curah yang terbongkar dari Kapal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</si>
</sst>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9">
    <font>
      <sz val="10.0"/>
      <color rgb="FF000000"/>
      <name val="Calibri"/>
      <scheme val="minor"/>
    </font>
    <font>
      <b/>
      <sz val="15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Calibri"/>
    </font>
    <font>
      <sz val="11.0"/>
      <color theme="1"/>
      <name val="Calibri"/>
    </font>
    <font>
      <color theme="1"/>
      <name val="Calibri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Arial"/>
    </font>
    <font>
      <color rgb="FFFFFFFF"/>
      <name val="Calibri"/>
    </font>
    <font>
      <sz val="10.0"/>
      <color rgb="FF000000"/>
      <name val="Arial"/>
    </font>
    <font>
      <sz val="14.0"/>
      <color theme="1"/>
      <name val="Arial"/>
    </font>
    <font>
      <b/>
      <u/>
      <sz val="11.0"/>
      <color theme="1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b/>
      <sz val="10.0"/>
      <color rgb="FFFF0000"/>
      <name val="Calibri"/>
    </font>
    <font>
      <b/>
      <sz val="10.0"/>
      <color rgb="FF00FF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79646"/>
        <bgColor rgb="FFF79646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</fills>
  <borders count="22">
    <border/>
    <border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dotted">
        <color rgb="FF000000"/>
      </lef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4" numFmtId="0" xfId="0" applyAlignment="1" applyBorder="1" applyFont="1">
      <alignment horizontal="right" readingOrder="0"/>
    </xf>
    <xf borderId="0" fillId="0" fontId="6" numFmtId="0" xfId="0" applyAlignment="1" applyFont="1">
      <alignment horizontal="right" readingOrder="0"/>
    </xf>
    <xf borderId="1" fillId="0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2" fillId="2" fontId="7" numFmtId="0" xfId="0" applyAlignment="1" applyBorder="1" applyFill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5" fillId="3" fontId="9" numFmtId="0" xfId="0" applyAlignment="1" applyBorder="1" applyFill="1" applyFont="1">
      <alignment horizontal="left" vertical="bottom"/>
    </xf>
    <xf borderId="6" fillId="2" fontId="7" numFmtId="0" xfId="0" applyBorder="1" applyFont="1"/>
    <xf borderId="5" fillId="2" fontId="7" numFmtId="0" xfId="0" applyBorder="1" applyFont="1"/>
    <xf borderId="2" fillId="0" fontId="10" numFmtId="0" xfId="0" applyBorder="1" applyFont="1"/>
    <xf borderId="7" fillId="0" fontId="9" numFmtId="2" xfId="0" applyAlignment="1" applyBorder="1" applyFont="1" applyNumberFormat="1">
      <alignment horizontal="left" readingOrder="0" vertical="bottom"/>
    </xf>
    <xf borderId="5" fillId="0" fontId="10" numFmtId="0" xfId="0" applyAlignment="1" applyBorder="1" applyFont="1">
      <alignment horizontal="left"/>
    </xf>
    <xf borderId="4" fillId="0" fontId="7" numFmtId="2" xfId="0" applyAlignment="1" applyBorder="1" applyFont="1" applyNumberFormat="1">
      <alignment horizontal="left" readingOrder="0"/>
    </xf>
    <xf borderId="2" fillId="0" fontId="7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8" fillId="0" fontId="7" numFmtId="2" xfId="0" applyAlignment="1" applyBorder="1" applyFont="1" applyNumberFormat="1">
      <alignment horizontal="left" readingOrder="0"/>
    </xf>
    <xf borderId="8" fillId="0" fontId="4" numFmtId="2" xfId="0" applyAlignment="1" applyBorder="1" applyFont="1" applyNumberFormat="1">
      <alignment horizontal="left" readingOrder="0"/>
    </xf>
    <xf borderId="0" fillId="0" fontId="11" numFmtId="0" xfId="0" applyFont="1"/>
    <xf borderId="2" fillId="0" fontId="10" numFmtId="0" xfId="0" applyAlignment="1" applyBorder="1" applyFont="1">
      <alignment horizontal="left"/>
    </xf>
    <xf borderId="7" fillId="4" fontId="9" numFmtId="2" xfId="0" applyAlignment="1" applyBorder="1" applyFill="1" applyFont="1" applyNumberFormat="1">
      <alignment horizontal="left" vertical="bottom"/>
    </xf>
    <xf borderId="5" fillId="0" fontId="10" numFmtId="0" xfId="0" applyBorder="1" applyFont="1"/>
    <xf borderId="4" fillId="4" fontId="7" numFmtId="2" xfId="0" applyAlignment="1" applyBorder="1" applyFont="1" applyNumberFormat="1">
      <alignment horizontal="left"/>
    </xf>
    <xf borderId="5" fillId="4" fontId="7" numFmtId="2" xfId="0" applyAlignment="1" applyBorder="1" applyFont="1" applyNumberFormat="1">
      <alignment horizontal="left"/>
    </xf>
    <xf borderId="7" fillId="0" fontId="9" numFmtId="164" xfId="0" applyAlignment="1" applyBorder="1" applyFont="1" applyNumberFormat="1">
      <alignment horizontal="left" vertical="bottom"/>
    </xf>
    <xf borderId="4" fillId="0" fontId="7" numFmtId="164" xfId="0" applyAlignment="1" applyBorder="1" applyFont="1" applyNumberFormat="1">
      <alignment horizontal="left"/>
    </xf>
    <xf borderId="5" fillId="0" fontId="7" numFmtId="164" xfId="0" applyAlignment="1" applyBorder="1" applyFont="1" applyNumberFormat="1">
      <alignment horizontal="left"/>
    </xf>
    <xf borderId="9" fillId="0" fontId="10" numFmtId="0" xfId="0" applyAlignment="1" applyBorder="1" applyFont="1">
      <alignment horizontal="left" shrinkToFit="0" vertical="top" wrapText="1"/>
    </xf>
    <xf borderId="10" fillId="0" fontId="8" numFmtId="0" xfId="0" applyBorder="1" applyFont="1"/>
    <xf borderId="11" fillId="0" fontId="8" numFmtId="0" xfId="0" applyBorder="1" applyFont="1"/>
    <xf borderId="12" fillId="0" fontId="9" numFmtId="164" xfId="0" applyAlignment="1" applyBorder="1" applyFont="1" applyNumberFormat="1">
      <alignment horizontal="left" vertical="bottom"/>
    </xf>
    <xf borderId="6" fillId="0" fontId="10" numFmtId="0" xfId="0" applyAlignment="1" applyBorder="1" applyFont="1">
      <alignment vertical="top"/>
    </xf>
    <xf borderId="11" fillId="0" fontId="7" numFmtId="164" xfId="0" applyAlignment="1" applyBorder="1" applyFont="1" applyNumberFormat="1">
      <alignment horizontal="left"/>
    </xf>
    <xf borderId="6" fillId="0" fontId="7" numFmtId="164" xfId="0" applyAlignment="1" applyBorder="1" applyFont="1" applyNumberFormat="1">
      <alignment horizontal="left"/>
    </xf>
    <xf borderId="13" fillId="0" fontId="12" numFmtId="0" xfId="0" applyBorder="1" applyFont="1"/>
    <xf borderId="7" fillId="0" fontId="8" numFmtId="0" xfId="0" applyBorder="1" applyFont="1"/>
    <xf borderId="8" fillId="0" fontId="8" numFmtId="0" xfId="0" applyBorder="1" applyFont="1"/>
    <xf borderId="12" fillId="5" fontId="13" numFmtId="0" xfId="0" applyAlignment="1" applyBorder="1" applyFill="1" applyFont="1">
      <alignment horizontal="left" vertical="bottom"/>
    </xf>
    <xf borderId="6" fillId="0" fontId="10" numFmtId="0" xfId="0" applyAlignment="1" applyBorder="1" applyFont="1">
      <alignment horizontal="left" vertical="top"/>
    </xf>
    <xf borderId="11" fillId="5" fontId="13" numFmtId="0" xfId="0" applyAlignment="1" applyBorder="1" applyFont="1">
      <alignment horizontal="left"/>
    </xf>
    <xf borderId="14" fillId="5" fontId="13" numFmtId="0" xfId="0" applyAlignment="1" applyBorder="1" applyFont="1">
      <alignment horizontal="left"/>
    </xf>
    <xf borderId="15" fillId="0" fontId="12" numFmtId="0" xfId="0" applyAlignment="1" applyBorder="1" applyFont="1">
      <alignment vertical="top"/>
    </xf>
    <xf borderId="12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5" fillId="0" fontId="7" numFmtId="0" xfId="0" applyAlignment="1" applyBorder="1" applyFont="1">
      <alignment horizontal="left" shrinkToFit="0" vertical="top" wrapText="1"/>
    </xf>
    <xf borderId="18" fillId="0" fontId="12" numFmtId="0" xfId="0" applyBorder="1" applyFont="1"/>
    <xf borderId="19" fillId="0" fontId="8" numFmtId="0" xfId="0" applyBorder="1" applyFont="1"/>
    <xf borderId="20" fillId="0" fontId="8" numFmtId="0" xfId="0" applyBorder="1" applyFont="1"/>
    <xf borderId="0" fillId="0" fontId="12" numFmtId="0" xfId="0" applyFont="1"/>
    <xf borderId="0" fillId="0" fontId="7" numFmtId="0" xfId="0" applyAlignment="1" applyFont="1">
      <alignment horizontal="left" shrinkToFit="0" vertical="top" wrapText="1"/>
    </xf>
    <xf borderId="0" fillId="0" fontId="7" numFmtId="0" xfId="0" applyFont="1"/>
    <xf borderId="0" fillId="0" fontId="10" numFmtId="0" xfId="0" applyAlignment="1" applyFont="1">
      <alignment horizontal="left" vertical="top"/>
    </xf>
    <xf borderId="0" fillId="0" fontId="14" numFmtId="0" xfId="0" applyFont="1"/>
    <xf borderId="0" fillId="0" fontId="15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 vertical="center"/>
    </xf>
    <xf borderId="0" fillId="0" fontId="16" numFmtId="0" xfId="0" applyAlignment="1" applyFont="1">
      <alignment horizontal="center"/>
    </xf>
    <xf borderId="5" fillId="6" fontId="4" numFmtId="164" xfId="0" applyBorder="1" applyFill="1" applyFont="1" applyNumberFormat="1"/>
    <xf borderId="0" fillId="0" fontId="4" numFmtId="0" xfId="0" applyAlignment="1" applyFont="1">
      <alignment horizontal="right"/>
    </xf>
    <xf borderId="5" fillId="6" fontId="4" numFmtId="0" xfId="0" applyBorder="1" applyFont="1"/>
    <xf borderId="5" fillId="2" fontId="15" numFmtId="164" xfId="0" applyAlignment="1" applyBorder="1" applyFont="1" applyNumberFormat="1">
      <alignment shrinkToFit="0" wrapText="1"/>
    </xf>
    <xf borderId="5" fillId="2" fontId="15" numFmtId="164" xfId="0" applyBorder="1" applyFont="1" applyNumberFormat="1"/>
    <xf borderId="0" fillId="0" fontId="15" numFmtId="0" xfId="0" applyAlignment="1" applyFont="1">
      <alignment horizontal="center"/>
    </xf>
    <xf borderId="5" fillId="5" fontId="17" numFmtId="3" xfId="0" applyAlignment="1" applyBorder="1" applyFont="1" applyNumberFormat="1">
      <alignment readingOrder="0"/>
    </xf>
    <xf borderId="0" fillId="0" fontId="15" numFmtId="0" xfId="0" applyAlignment="1" applyFont="1">
      <alignment horizontal="right"/>
    </xf>
    <xf borderId="21" fillId="2" fontId="15" numFmtId="0" xfId="0" applyAlignment="1" applyBorder="1" applyFont="1">
      <alignment horizontal="center"/>
    </xf>
    <xf borderId="5" fillId="4" fontId="15" numFmtId="164" xfId="0" applyBorder="1" applyFont="1" applyNumberFormat="1"/>
    <xf borderId="5" fillId="4" fontId="18" numFmtId="164" xfId="0" applyBorder="1" applyFont="1" applyNumberFormat="1"/>
    <xf borderId="0" fillId="0" fontId="15" numFmtId="0" xfId="0" applyAlignment="1" applyFont="1">
      <alignment horizontal="left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15500" cy="1762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/>
  </sheetViews>
  <sheetFormatPr customHeight="1" defaultColWidth="14.43" defaultRowHeight="15.0"/>
  <cols>
    <col customWidth="1" min="1" max="4" width="11.57"/>
    <col customWidth="1" min="5" max="5" width="19.43"/>
    <col customWidth="1" min="6" max="6" width="20.29"/>
    <col customWidth="1" min="7" max="7" width="26.14"/>
    <col customWidth="1" min="8" max="8" width="19.57"/>
    <col customWidth="1" min="9" max="12" width="11.57"/>
  </cols>
  <sheetData>
    <row r="1" ht="12.75" customHeight="1">
      <c r="A1" s="1" t="s">
        <v>0</v>
      </c>
    </row>
    <row r="2" ht="12.75" customHeight="1"/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12.75" customHeight="1">
      <c r="A13" s="1" t="s">
        <v>0</v>
      </c>
    </row>
    <row r="14" ht="12.75" customHeight="1"/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12.75" customHeight="1">
      <c r="A16" s="2" t="s">
        <v>1</v>
      </c>
      <c r="E16" s="3" t="s">
        <v>2</v>
      </c>
      <c r="G16" s="3" t="s">
        <v>3</v>
      </c>
    </row>
    <row r="17" ht="12.75" customHeight="1">
      <c r="D17" s="4"/>
    </row>
    <row r="18" ht="12.75" customHeight="1">
      <c r="A18" s="5" t="s">
        <v>4</v>
      </c>
      <c r="D18" s="6" t="s">
        <v>5</v>
      </c>
      <c r="E18" s="7" t="s">
        <v>6</v>
      </c>
      <c r="G18" s="5" t="s">
        <v>4</v>
      </c>
      <c r="H18" s="8" t="s">
        <v>7</v>
      </c>
      <c r="I18" s="9" t="s">
        <v>8</v>
      </c>
    </row>
    <row r="19" ht="12.75" customHeight="1">
      <c r="D19" s="5"/>
      <c r="G19" s="5"/>
      <c r="I19" s="10"/>
    </row>
    <row r="20" ht="12.75" customHeight="1">
      <c r="A20" s="11" t="s">
        <v>9</v>
      </c>
      <c r="B20" s="12"/>
      <c r="C20" s="13"/>
      <c r="D20" s="14" t="s">
        <v>10</v>
      </c>
      <c r="E20" s="14" t="s">
        <v>11</v>
      </c>
      <c r="G20" s="15" t="s">
        <v>12</v>
      </c>
      <c r="H20" s="16" t="s">
        <v>10</v>
      </c>
      <c r="I20" s="16" t="s">
        <v>11</v>
      </c>
    </row>
    <row r="21" ht="12.75" customHeight="1">
      <c r="A21" s="17" t="s">
        <v>13</v>
      </c>
      <c r="B21" s="12"/>
      <c r="C21" s="13"/>
      <c r="D21" s="18">
        <v>5.1</v>
      </c>
      <c r="E21" s="18">
        <v>7.7</v>
      </c>
      <c r="G21" s="19" t="s">
        <v>14</v>
      </c>
      <c r="H21" s="20">
        <v>1.9</v>
      </c>
      <c r="I21" s="20">
        <v>1.65</v>
      </c>
    </row>
    <row r="22" ht="12.75" customHeight="1">
      <c r="A22" s="21">
        <v>2.0</v>
      </c>
      <c r="B22" s="12"/>
      <c r="C22" s="13"/>
      <c r="D22" s="18">
        <v>5.55</v>
      </c>
      <c r="E22" s="18">
        <v>9.2</v>
      </c>
      <c r="G22" s="22">
        <v>2.0</v>
      </c>
      <c r="H22" s="23">
        <v>1.75</v>
      </c>
      <c r="I22" s="23">
        <v>1.7</v>
      </c>
    </row>
    <row r="23" ht="12.75" customHeight="1">
      <c r="A23" s="21">
        <v>3.0</v>
      </c>
      <c r="B23" s="12"/>
      <c r="C23" s="13"/>
      <c r="D23" s="18">
        <v>7.0</v>
      </c>
      <c r="E23" s="18">
        <v>10.8</v>
      </c>
      <c r="G23" s="22">
        <v>3.0</v>
      </c>
      <c r="H23" s="23">
        <v>2.1</v>
      </c>
      <c r="I23" s="23">
        <v>1.75</v>
      </c>
    </row>
    <row r="24" ht="12.75" customHeight="1">
      <c r="A24" s="21">
        <v>4.0</v>
      </c>
      <c r="B24" s="12"/>
      <c r="C24" s="13"/>
      <c r="D24" s="18">
        <v>7.0</v>
      </c>
      <c r="E24" s="18">
        <v>11.6</v>
      </c>
      <c r="G24" s="22">
        <v>4.0</v>
      </c>
      <c r="H24" s="23">
        <v>2.2</v>
      </c>
      <c r="I24" s="23">
        <v>1.9</v>
      </c>
    </row>
    <row r="25" ht="12.75" customHeight="1">
      <c r="A25" s="21">
        <v>5.0</v>
      </c>
      <c r="B25" s="12"/>
      <c r="C25" s="13"/>
      <c r="D25" s="18">
        <v>6.6</v>
      </c>
      <c r="E25" s="18">
        <v>11.35</v>
      </c>
      <c r="G25" s="22">
        <v>5.0</v>
      </c>
      <c r="H25" s="24">
        <v>2.0</v>
      </c>
      <c r="I25" s="24">
        <v>1.85</v>
      </c>
    </row>
    <row r="26" ht="12.75" customHeight="1">
      <c r="A26" s="21">
        <v>6.0</v>
      </c>
      <c r="B26" s="12"/>
      <c r="C26" s="13"/>
      <c r="D26" s="18">
        <v>5.65</v>
      </c>
      <c r="E26" s="18">
        <v>9.75</v>
      </c>
      <c r="G26" s="22">
        <v>6.0</v>
      </c>
      <c r="H26" s="24">
        <v>1.9</v>
      </c>
      <c r="I26" s="24">
        <v>1.75</v>
      </c>
    </row>
    <row r="27" ht="12.75" customHeight="1">
      <c r="A27" s="21">
        <v>7.0</v>
      </c>
      <c r="B27" s="12"/>
      <c r="C27" s="13"/>
      <c r="D27" s="18">
        <v>5.0</v>
      </c>
      <c r="E27" s="18">
        <v>7.75</v>
      </c>
      <c r="F27" s="25"/>
      <c r="G27" s="22">
        <v>7.0</v>
      </c>
      <c r="H27" s="24">
        <v>1.9</v>
      </c>
      <c r="I27" s="24">
        <v>1.6</v>
      </c>
    </row>
    <row r="28" ht="12.75" customHeight="1">
      <c r="A28" s="26" t="s">
        <v>15</v>
      </c>
      <c r="B28" s="12"/>
      <c r="C28" s="13"/>
      <c r="D28" s="27">
        <f t="shared" ref="D28:E28" si="1">SUM(D21:D27)</f>
        <v>41.9</v>
      </c>
      <c r="E28" s="27">
        <f t="shared" si="1"/>
        <v>68.15</v>
      </c>
      <c r="G28" s="28" t="s">
        <v>16</v>
      </c>
      <c r="H28" s="29">
        <f t="shared" ref="H28:I28" si="2">SUM(H21:H27)</f>
        <v>13.75</v>
      </c>
      <c r="I28" s="30">
        <f t="shared" si="2"/>
        <v>12.2</v>
      </c>
    </row>
    <row r="29" ht="12.75" customHeight="1">
      <c r="A29" s="26" t="s">
        <v>17</v>
      </c>
      <c r="B29" s="12"/>
      <c r="C29" s="13"/>
      <c r="D29" s="31">
        <f t="shared" ref="D29:E29" si="3">AVERAGE(D21:D27)</f>
        <v>5.985714286</v>
      </c>
      <c r="E29" s="31">
        <f t="shared" si="3"/>
        <v>9.735714286</v>
      </c>
      <c r="G29" s="28" t="s">
        <v>18</v>
      </c>
      <c r="H29" s="32">
        <f t="shared" ref="H29:I29" si="4">AVERAGE(H21:H27)</f>
        <v>1.964285714</v>
      </c>
      <c r="I29" s="33">
        <f t="shared" si="4"/>
        <v>1.742857143</v>
      </c>
    </row>
    <row r="30" ht="12.75" customHeight="1">
      <c r="A30" s="34" t="s">
        <v>19</v>
      </c>
      <c r="B30" s="35"/>
      <c r="C30" s="36"/>
      <c r="D30" s="37">
        <f t="shared" ref="D30:E30" si="5">18-D29</f>
        <v>12.01428571</v>
      </c>
      <c r="E30" s="37">
        <f t="shared" si="5"/>
        <v>8.264285714</v>
      </c>
      <c r="G30" s="38" t="s">
        <v>20</v>
      </c>
      <c r="H30" s="39">
        <f t="shared" ref="H30:I30" si="6">18-H29</f>
        <v>16.03571429</v>
      </c>
      <c r="I30" s="40">
        <f t="shared" si="6"/>
        <v>16.25714286</v>
      </c>
    </row>
    <row r="31" ht="12.75" customHeight="1">
      <c r="A31" s="41" t="s">
        <v>21</v>
      </c>
      <c r="D31" s="42"/>
      <c r="E31" s="42"/>
      <c r="G31" s="42"/>
      <c r="H31" s="43"/>
      <c r="I31" s="42"/>
    </row>
    <row r="32" ht="12.75" customHeight="1">
      <c r="A32" s="34" t="s">
        <v>22</v>
      </c>
      <c r="B32" s="35"/>
      <c r="C32" s="36"/>
      <c r="D32" s="44">
        <v>4.6</v>
      </c>
      <c r="E32" s="44">
        <v>2.9</v>
      </c>
      <c r="G32" s="45" t="s">
        <v>23</v>
      </c>
      <c r="H32" s="46">
        <v>4.6</v>
      </c>
      <c r="I32" s="47">
        <v>2.9</v>
      </c>
    </row>
    <row r="33" ht="12.75" customHeight="1">
      <c r="A33" s="48" t="s">
        <v>24</v>
      </c>
      <c r="D33" s="49"/>
      <c r="E33" s="49"/>
      <c r="G33" s="49"/>
      <c r="H33" s="50"/>
      <c r="I33" s="51"/>
    </row>
    <row r="34" ht="12.75" customHeight="1">
      <c r="A34" s="52" t="s">
        <v>25</v>
      </c>
      <c r="D34" s="49"/>
      <c r="E34" s="49"/>
      <c r="G34" s="49"/>
      <c r="H34" s="50"/>
      <c r="I34" s="51"/>
    </row>
    <row r="35" ht="12.75" customHeight="1">
      <c r="A35" s="53" t="s">
        <v>26</v>
      </c>
      <c r="B35" s="54"/>
      <c r="C35" s="43"/>
      <c r="D35" s="42"/>
      <c r="E35" s="42"/>
      <c r="G35" s="42"/>
      <c r="H35" s="43"/>
      <c r="I35" s="55"/>
    </row>
    <row r="36" ht="12.75" customHeight="1">
      <c r="A36" s="56"/>
      <c r="B36" s="57"/>
      <c r="C36" s="57"/>
      <c r="D36" s="58"/>
      <c r="E36" s="58"/>
      <c r="G36" s="59"/>
      <c r="H36" s="58"/>
      <c r="I36" s="58"/>
    </row>
    <row r="37" ht="12.75" customHeight="1"/>
    <row r="38" ht="12.75" customHeight="1">
      <c r="A38" s="60" t="s">
        <v>27</v>
      </c>
    </row>
    <row r="39" ht="12.75" customHeight="1"/>
    <row r="40" ht="12.75" customHeight="1">
      <c r="A40" s="61" t="s">
        <v>28</v>
      </c>
      <c r="C40" s="62" t="s">
        <v>29</v>
      </c>
      <c r="D40" s="63" t="s">
        <v>30</v>
      </c>
      <c r="E40" s="64">
        <v>145.42</v>
      </c>
      <c r="F40" s="65" t="s">
        <v>31</v>
      </c>
      <c r="G40" s="66">
        <f>18-D29</f>
        <v>12.01428571</v>
      </c>
      <c r="H40" s="67" t="s">
        <v>32</v>
      </c>
      <c r="I40" s="68">
        <f>145.42*G40</f>
        <v>1747.117429</v>
      </c>
    </row>
    <row r="41" ht="12.75" customHeight="1">
      <c r="C41" s="62" t="s">
        <v>33</v>
      </c>
      <c r="D41" s="63" t="s">
        <v>30</v>
      </c>
      <c r="E41" s="67">
        <v>48.47</v>
      </c>
      <c r="F41" s="65" t="s">
        <v>34</v>
      </c>
      <c r="G41" s="68">
        <f>D32</f>
        <v>4.6</v>
      </c>
      <c r="H41" s="67" t="s">
        <v>35</v>
      </c>
      <c r="I41" s="68">
        <f>48.47*D32/4.6*4.6</f>
        <v>222.962</v>
      </c>
    </row>
    <row r="42" ht="12.75" customHeight="1">
      <c r="D42" s="63"/>
      <c r="E42" s="67"/>
      <c r="F42" s="63"/>
    </row>
    <row r="43" ht="12.75" customHeight="1">
      <c r="D43" s="63"/>
      <c r="E43" s="67"/>
      <c r="F43" s="63"/>
    </row>
    <row r="44" ht="12.75" customHeight="1">
      <c r="D44" s="63"/>
      <c r="E44" s="67"/>
      <c r="F44" s="63"/>
    </row>
    <row r="45" ht="12.75" customHeight="1">
      <c r="A45" s="61" t="s">
        <v>36</v>
      </c>
      <c r="C45" s="62" t="s">
        <v>29</v>
      </c>
      <c r="D45" s="63" t="s">
        <v>30</v>
      </c>
      <c r="E45" s="64">
        <v>145.42</v>
      </c>
      <c r="F45" s="65" t="s">
        <v>31</v>
      </c>
      <c r="G45" s="66">
        <f>18-E29</f>
        <v>8.264285714</v>
      </c>
      <c r="H45" s="67" t="s">
        <v>30</v>
      </c>
      <c r="I45" s="66">
        <f>145.42*G45</f>
        <v>1201.792429</v>
      </c>
    </row>
    <row r="46" ht="12.75" customHeight="1">
      <c r="C46" s="62" t="s">
        <v>33</v>
      </c>
      <c r="D46" s="63" t="s">
        <v>30</v>
      </c>
      <c r="E46" s="67">
        <v>48.47</v>
      </c>
      <c r="F46" s="65" t="s">
        <v>34</v>
      </c>
      <c r="G46" s="68">
        <f>E32</f>
        <v>2.9</v>
      </c>
      <c r="H46" s="67" t="s">
        <v>37</v>
      </c>
      <c r="I46" s="68">
        <f>48.47*E32/2.9*2.9</f>
        <v>140.563</v>
      </c>
    </row>
    <row r="47" ht="12.75" customHeight="1">
      <c r="D47" s="63"/>
      <c r="E47" s="67"/>
      <c r="F47" s="63"/>
    </row>
    <row r="48" ht="12.75" customHeight="1">
      <c r="D48" s="63"/>
      <c r="E48" s="67"/>
      <c r="F48" s="63"/>
      <c r="H48" s="67" t="s">
        <v>30</v>
      </c>
      <c r="I48" s="69">
        <f>SUM(I40+I41+I45+I46)</f>
        <v>3312.434857</v>
      </c>
      <c r="J48" s="61" t="s">
        <v>38</v>
      </c>
    </row>
    <row r="49" ht="12.75" customHeight="1">
      <c r="A49" s="60" t="s">
        <v>39</v>
      </c>
      <c r="D49" s="63"/>
      <c r="E49" s="67"/>
      <c r="F49" s="63"/>
    </row>
    <row r="50" ht="12.75" customHeight="1">
      <c r="D50" s="63"/>
      <c r="E50" s="67"/>
      <c r="F50" s="63"/>
    </row>
    <row r="51" ht="12.75" customHeight="1">
      <c r="A51" s="61" t="s">
        <v>28</v>
      </c>
      <c r="C51" s="62" t="s">
        <v>29</v>
      </c>
      <c r="D51" s="63" t="s">
        <v>30</v>
      </c>
      <c r="E51" s="64">
        <v>145.42</v>
      </c>
      <c r="F51" s="65" t="s">
        <v>31</v>
      </c>
      <c r="G51" s="66">
        <f>18-H29</f>
        <v>16.03571429</v>
      </c>
      <c r="H51" s="67" t="s">
        <v>30</v>
      </c>
      <c r="I51" s="66">
        <f>145.42*G51</f>
        <v>2331.913571</v>
      </c>
    </row>
    <row r="52" ht="12.75" customHeight="1">
      <c r="C52" s="62" t="s">
        <v>33</v>
      </c>
      <c r="D52" s="63" t="s">
        <v>30</v>
      </c>
      <c r="E52" s="67">
        <v>48.47</v>
      </c>
      <c r="F52" s="65" t="s">
        <v>34</v>
      </c>
      <c r="G52" s="68">
        <f>H32</f>
        <v>4.6</v>
      </c>
      <c r="H52" s="67" t="s">
        <v>35</v>
      </c>
      <c r="I52" s="68">
        <f>48.47*H32/4.6*4.6</f>
        <v>222.962</v>
      </c>
    </row>
    <row r="53" ht="12.75" customHeight="1">
      <c r="D53" s="63"/>
      <c r="E53" s="67"/>
      <c r="F53" s="63"/>
    </row>
    <row r="54" ht="12.75" customHeight="1">
      <c r="D54" s="63"/>
      <c r="E54" s="67"/>
      <c r="F54" s="63"/>
    </row>
    <row r="55" ht="12.75" customHeight="1">
      <c r="A55" s="61" t="s">
        <v>36</v>
      </c>
      <c r="C55" s="62" t="s">
        <v>29</v>
      </c>
      <c r="D55" s="63" t="s">
        <v>30</v>
      </c>
      <c r="E55" s="64">
        <v>145.42</v>
      </c>
      <c r="F55" s="65" t="s">
        <v>31</v>
      </c>
      <c r="G55" s="66">
        <f>18-I29</f>
        <v>16.25714286</v>
      </c>
      <c r="H55" s="67" t="s">
        <v>30</v>
      </c>
      <c r="I55" s="68">
        <f>145.42*G55</f>
        <v>2364.113714</v>
      </c>
    </row>
    <row r="56" ht="12.75" customHeight="1">
      <c r="C56" s="62" t="s">
        <v>33</v>
      </c>
      <c r="D56" s="63" t="s">
        <v>30</v>
      </c>
      <c r="E56" s="67">
        <v>48.47</v>
      </c>
      <c r="F56" s="65" t="s">
        <v>34</v>
      </c>
      <c r="G56" s="68">
        <f>I32</f>
        <v>2.9</v>
      </c>
      <c r="H56" s="67" t="s">
        <v>37</v>
      </c>
      <c r="I56" s="68">
        <f>48.47*I32/2.9*2.9</f>
        <v>140.563</v>
      </c>
    </row>
    <row r="57" ht="12.75" customHeight="1"/>
    <row r="58" ht="12.75" customHeight="1">
      <c r="H58" s="67" t="s">
        <v>30</v>
      </c>
      <c r="I58" s="70">
        <f>SUM(I51+I52+I55+I56)</f>
        <v>5059.552286</v>
      </c>
      <c r="J58" s="61" t="s">
        <v>38</v>
      </c>
    </row>
    <row r="59" ht="12.75" customHeight="1"/>
    <row r="60" ht="12.75" customHeight="1"/>
    <row r="61" ht="12.75" customHeight="1"/>
    <row r="62" ht="12.75" customHeight="1">
      <c r="A62" s="4" t="s">
        <v>40</v>
      </c>
      <c r="F62" s="67" t="s">
        <v>32</v>
      </c>
      <c r="G62" s="66">
        <f>I58</f>
        <v>5059.552286</v>
      </c>
      <c r="H62" s="71" t="s">
        <v>41</v>
      </c>
    </row>
    <row r="63" ht="12.75" customHeight="1">
      <c r="A63" s="4" t="s">
        <v>42</v>
      </c>
      <c r="F63" s="67" t="s">
        <v>32</v>
      </c>
      <c r="G63" s="72">
        <v>230.0</v>
      </c>
      <c r="H63" s="73" t="s">
        <v>43</v>
      </c>
    </row>
    <row r="64" ht="12.75" customHeight="1"/>
    <row r="65" ht="12.75" customHeight="1">
      <c r="G65" s="74" t="s">
        <v>30</v>
      </c>
    </row>
    <row r="66" ht="12.75" customHeight="1">
      <c r="G66" s="75">
        <f>G62+G63</f>
        <v>5289.552286</v>
      </c>
    </row>
    <row r="67" ht="12.75" customHeight="1"/>
    <row r="68" ht="12.75" customHeight="1">
      <c r="A68" s="4" t="s">
        <v>44</v>
      </c>
      <c r="F68" s="67" t="s">
        <v>32</v>
      </c>
      <c r="G68" s="66">
        <f>I48</f>
        <v>3312.434857</v>
      </c>
      <c r="H68" s="71" t="s">
        <v>45</v>
      </c>
      <c r="I68" s="67"/>
    </row>
    <row r="69" ht="12.75" customHeight="1">
      <c r="A69" s="61" t="s">
        <v>46</v>
      </c>
      <c r="F69" s="67" t="s">
        <v>32</v>
      </c>
      <c r="G69" s="76">
        <f>G66-G68</f>
        <v>1977.117429</v>
      </c>
      <c r="H69" s="77" t="s">
        <v>38</v>
      </c>
      <c r="I69" s="61"/>
    </row>
    <row r="70" ht="12.75" customHeight="1"/>
    <row r="71" ht="12.75" customHeight="1"/>
    <row r="72" ht="12.75" customHeight="1">
      <c r="G72" s="78"/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41">
    <mergeCell ref="A1:L2"/>
    <mergeCell ref="A13:L14"/>
    <mergeCell ref="E16:F16"/>
    <mergeCell ref="G16:H16"/>
    <mergeCell ref="A18:C18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D30:D31"/>
    <mergeCell ref="E30:E31"/>
    <mergeCell ref="G30:G31"/>
    <mergeCell ref="H30:H31"/>
    <mergeCell ref="I30:I31"/>
    <mergeCell ref="A31:C31"/>
    <mergeCell ref="A32:C32"/>
    <mergeCell ref="D32:D35"/>
    <mergeCell ref="E32:E35"/>
    <mergeCell ref="G32:G35"/>
    <mergeCell ref="H32:H35"/>
    <mergeCell ref="I32:I35"/>
    <mergeCell ref="A35:C35"/>
    <mergeCell ref="A55:B55"/>
    <mergeCell ref="A62:C62"/>
    <mergeCell ref="A63:C63"/>
    <mergeCell ref="A68:C68"/>
    <mergeCell ref="A69:C69"/>
    <mergeCell ref="A33:C33"/>
    <mergeCell ref="A34:C34"/>
    <mergeCell ref="A38:C38"/>
    <mergeCell ref="A40:B40"/>
    <mergeCell ref="A45:B45"/>
    <mergeCell ref="A49:C49"/>
    <mergeCell ref="A51:B51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2021-12-18T13:02:41Z</dcterms:created>
  <dc:creator>Mulky Malikul Dhaher</dc:creator>
</cp:coreProperties>
</file>